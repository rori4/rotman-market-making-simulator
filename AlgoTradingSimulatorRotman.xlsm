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ge\Desktop\rotman-market-making-simulator\"/>
    </mc:Choice>
  </mc:AlternateContent>
  <xr:revisionPtr revIDLastSave="0" documentId="13_ncr:1_{FACB477C-DD5C-41D5-BC5B-8027E177D974}" xr6:coauthVersionLast="45" xr6:coauthVersionMax="45" xr10:uidLastSave="{00000000-0000-0000-0000-000000000000}"/>
  <bookViews>
    <workbookView xWindow="-120" yWindow="-120" windowWidth="29040" windowHeight="15990" xr2:uid="{D9990F77-592F-4EF9-A4FA-EE36928BCCC1}"/>
  </bookViews>
  <sheets>
    <sheet name="Sheet1" sheetId="1" r:id="rId1"/>
  </sheets>
  <functionGroup name="KTEUDF"/>
  <definedNames>
    <definedName name="AskSize2">Sheet1!$K$5</definedName>
    <definedName name="AskSize3">Sheet1!$K$6</definedName>
    <definedName name="AskSize4">Sheet1!$K$7</definedName>
    <definedName name="BestAsk">Sheet1!$J$4</definedName>
    <definedName name="BestBid">Sheet1!$I$4</definedName>
    <definedName name="BidAskSpread">Sheet1!$C$7</definedName>
    <definedName name="BidSize1">Sheet1!#REF!</definedName>
    <definedName name="BidSize2">Sheet1!$H$5</definedName>
    <definedName name="BidSize3">Sheet1!$H$6</definedName>
    <definedName name="BidSize4">Sheet1!$H$7</definedName>
    <definedName name="Connector">Sheet1!$C$25</definedName>
    <definedName name="DefaultSize">Sheet1!$C$3</definedName>
    <definedName name="FourthAsk">Sheet1!$J$7</definedName>
    <definedName name="FourthBid">Sheet1!$I$7</definedName>
    <definedName name="InventoryTreshold1">Sheet1!$C$8</definedName>
    <definedName name="InventoryTreshold2">Sheet1!$C$9</definedName>
    <definedName name="InventoryTreshold3">Sheet1!$C$10</definedName>
    <definedName name="InventoryTreshold4">Sheet1!$C$11</definedName>
    <definedName name="InventoryTreshold5">Sheet1!$C$12</definedName>
    <definedName name="K">Sheet1!$C$6</definedName>
    <definedName name="ObsAsk1">Sheet1!$N$4</definedName>
    <definedName name="ObsAsk2">Sheet1!$N$5</definedName>
    <definedName name="ObsAsk3">Sheet1!$N$6</definedName>
    <definedName name="ObsAsk4">Sheet1!$N$7</definedName>
    <definedName name="ObsBid1">Sheet1!$H$4</definedName>
    <definedName name="ObsBid2">Sheet1!$E$5</definedName>
    <definedName name="ObsBid3">Sheet1!$E$6</definedName>
    <definedName name="ObsBid4">Sheet1!$E$7</definedName>
    <definedName name="OpenLimitOrders">Sheet1!$C$18</definedName>
    <definedName name="Position">Sheet1!$C$19</definedName>
    <definedName name="SafeValue1">Sheet1!$C$13</definedName>
    <definedName name="SafeValue2">Sheet1!$C$14</definedName>
    <definedName name="SecondAsk">Sheet1!$J$5</definedName>
    <definedName name="SecondBid">Sheet1!$I$5</definedName>
    <definedName name="StartTime">Sheet1!$C$4</definedName>
    <definedName name="Stock">Sheet1!$C$26</definedName>
    <definedName name="StopTime">Sheet1!$C$5</definedName>
    <definedName name="ThirdAsk">Sheet1!$J$6</definedName>
    <definedName name="ThirdBid">Sheet1!$I$6</definedName>
    <definedName name="TimeRemaining">Sheet1!$C$20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" l="1"/>
  <c r="N15" i="1" l="1"/>
  <c r="N16" i="1"/>
  <c r="N17" i="1"/>
  <c r="N14" i="1"/>
  <c r="E17" i="1"/>
  <c r="L14" i="1"/>
  <c r="L15" i="1" s="1"/>
  <c r="L16" i="1" s="1"/>
  <c r="L17" i="1" s="1"/>
  <c r="G14" i="1"/>
  <c r="E14" i="1" s="1"/>
  <c r="K5" i="1"/>
  <c r="K6" i="1"/>
  <c r="K7" i="1"/>
  <c r="K4" i="1"/>
  <c r="L4" i="1" s="1"/>
  <c r="J5" i="1"/>
  <c r="J6" i="1"/>
  <c r="J7" i="1"/>
  <c r="J4" i="1"/>
  <c r="C23" i="1" s="1"/>
  <c r="H5" i="1"/>
  <c r="H6" i="1"/>
  <c r="H7" i="1"/>
  <c r="H4" i="1"/>
  <c r="G4" i="1" s="1"/>
  <c r="I5" i="1"/>
  <c r="I6" i="1"/>
  <c r="I7" i="1"/>
  <c r="I4" i="1"/>
  <c r="C22" i="1" s="1"/>
  <c r="C20" i="1"/>
  <c r="C19" i="1"/>
  <c r="N4" i="1" l="1"/>
  <c r="E4" i="1"/>
  <c r="L5" i="1"/>
  <c r="L6" i="1" s="1"/>
  <c r="G5" i="1"/>
  <c r="G15" i="1"/>
  <c r="C21" i="1"/>
  <c r="N5" i="1" l="1"/>
  <c r="L7" i="1"/>
  <c r="G6" i="1"/>
  <c r="N6" i="1" s="1"/>
  <c r="E5" i="1"/>
  <c r="G16" i="1"/>
  <c r="E15" i="1"/>
  <c r="G7" i="1" l="1"/>
  <c r="E7" i="1" s="1"/>
  <c r="E6" i="1"/>
  <c r="E16" i="1"/>
  <c r="G17" i="1"/>
  <c r="C16" i="1" a="1"/>
  <c r="C16" i="1" l="1"/>
  <c r="N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<sst xmlns="http://schemas.openxmlformats.org/spreadsheetml/2006/main" count="48" uniqueCount="38">
  <si>
    <t>Exogenous Variables</t>
  </si>
  <si>
    <t>DefaultSize</t>
  </si>
  <si>
    <t>StartTime</t>
  </si>
  <si>
    <t>StopTime</t>
  </si>
  <si>
    <t>K</t>
  </si>
  <si>
    <t>BidAskSpread</t>
  </si>
  <si>
    <t>InventoryTreshold1</t>
  </si>
  <si>
    <t>InventoryTreshold2</t>
  </si>
  <si>
    <t>InventoryTreshold3</t>
  </si>
  <si>
    <t>InventoryTreshold4</t>
  </si>
  <si>
    <t>InventoryTreshold5</t>
  </si>
  <si>
    <t>SafeValue1</t>
  </si>
  <si>
    <t>SafeValue2</t>
  </si>
  <si>
    <t>Algo Information</t>
  </si>
  <si>
    <t>AlgoFunction</t>
  </si>
  <si>
    <t>Endogenous Variables</t>
  </si>
  <si>
    <t>OpenOrder</t>
  </si>
  <si>
    <t>Position</t>
  </si>
  <si>
    <t>TimeRemaining</t>
  </si>
  <si>
    <t>Bid-AskSpread</t>
  </si>
  <si>
    <t>BestBid</t>
  </si>
  <si>
    <t>BestAsk</t>
  </si>
  <si>
    <t>ObsBid</t>
  </si>
  <si>
    <t>OrderBook</t>
  </si>
  <si>
    <t>BidSize</t>
  </si>
  <si>
    <t>BID</t>
  </si>
  <si>
    <t>ASK</t>
  </si>
  <si>
    <t>AskSize</t>
  </si>
  <si>
    <t>ObsAsk</t>
  </si>
  <si>
    <t>CRZY</t>
  </si>
  <si>
    <t>rit2.rtd</t>
  </si>
  <si>
    <t>Stock</t>
  </si>
  <si>
    <t>Connector</t>
  </si>
  <si>
    <t>N</t>
  </si>
  <si>
    <t>Constants</t>
  </si>
  <si>
    <t>CumulativeAskSize</t>
  </si>
  <si>
    <t>CumulativeBidSize</t>
  </si>
  <si>
    <t>AS IN THE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</si>
</sst>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3" borderId="1" xfId="0" applyFont="1" applyFill="1" applyBorder="1"/>
    <xf numFmtId="0" fontId="0" fillId="0" borderId="8" xfId="0" applyBorder="1"/>
    <xf numFmtId="0" fontId="0" fillId="0" borderId="9" xfId="0" applyBorder="1"/>
    <xf numFmtId="0" fontId="4" fillId="4" borderId="1" xfId="0" applyFont="1" applyFill="1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-4600</v>
        <stp/>
        <stp>CRZY</stp>
        <stp>POSITION</stp>
        <tr r="C19" s="1"/>
      </tp>
      <tp>
        <v>10.18</v>
        <stp/>
        <stp>CRZY</stp>
        <stp>AGASK</stp>
        <stp>4</stp>
        <tr r="J7" s="1"/>
      </tp>
      <tp>
        <v>10.17</v>
        <stp/>
        <stp>CRZY</stp>
        <stp>AGASK</stp>
        <stp>3</stp>
        <tr r="J6" s="1"/>
      </tp>
      <tp>
        <v>10.16</v>
        <stp/>
        <stp>CRZY</stp>
        <stp>AGASK</stp>
        <stp>2</stp>
        <tr r="J5" s="1"/>
      </tp>
      <tp>
        <v>10.14</v>
        <stp/>
        <stp>CRZY</stp>
        <stp>AGASK</stp>
        <stp>1</stp>
        <tr r="J4" s="1"/>
      </tp>
      <tp>
        <v>10.08</v>
        <stp/>
        <stp>CRZY</stp>
        <stp>AGBID</stp>
        <stp>4</stp>
        <tr r="I7" s="1"/>
      </tp>
      <tp>
        <v>10.130000000000001</v>
        <stp/>
        <stp>CRZY</stp>
        <stp>AGBID</stp>
        <stp>1</stp>
        <tr r="I4" s="1"/>
      </tp>
      <tp>
        <v>10.119999999999999</v>
        <stp/>
        <stp>CRZY</stp>
        <stp>AGBID</stp>
        <stp>2</stp>
        <tr r="I5" s="1"/>
      </tp>
      <tp>
        <v>10.1</v>
        <stp/>
        <stp>CRZY</stp>
        <stp>AGBID</stp>
        <stp>3</stp>
        <tr r="I6" s="1"/>
      </tp>
      <tp>
        <v>267</v>
        <stp/>
        <stp>TIMEREMAINING</stp>
        <tr r="C20" s="1"/>
      </tp>
      <tp>
        <v>10700</v>
        <stp/>
        <stp>CRZY</stp>
        <stp>AGBSZ</stp>
        <stp>4</stp>
        <tr r="H7" s="1"/>
      </tp>
      <tp>
        <v>5200</v>
        <stp/>
        <stp>CRZY</stp>
        <stp>AGASZ</stp>
        <stp>4</stp>
        <tr r="K7" s="1"/>
      </tp>
      <tp>
        <v>9000</v>
        <stp/>
        <stp>CRZY</stp>
        <stp>AGASZ</stp>
        <stp>3</stp>
        <tr r="K6" s="1"/>
      </tp>
      <tp>
        <v>5800</v>
        <stp/>
        <stp>CRZY</stp>
        <stp>AGASZ</stp>
        <stp>2</stp>
        <tr r="K5" s="1"/>
      </tp>
      <tp>
        <v>900</v>
        <stp/>
        <stp>CRZY</stp>
        <stp>AGBSZ</stp>
        <stp>1</stp>
        <tr r="H4" s="1"/>
      </tp>
      <tp>
        <v>4300</v>
        <stp/>
        <stp>CRZY</stp>
        <stp>AGASZ</stp>
        <stp>1</stp>
        <tr r="K4" s="1"/>
      </tp>
      <tp>
        <v>5700</v>
        <stp/>
        <stp>CRZY</stp>
        <stp>AGBSZ</stp>
        <stp>2</stp>
        <tr r="H5" s="1"/>
      </tp>
      <tp>
        <v>4200</v>
        <stp/>
        <stp>CRZY</stp>
        <stp>AGBSZ</stp>
        <stp>3</stp>
        <tr r="H6" s="1"/>
      </tp>
      <tp>
        <v>8</v>
        <stp/>
        <stp>CRZY</stp>
        <stp>LIMITORDERS</stp>
        <tr r="C1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BD0D-82D9-48C4-8E13-D8C361682C60}">
  <sheetPr codeName="Sheet1"/>
  <dimension ref="B2:N26"/>
  <sheetViews>
    <sheetView tabSelected="1" workbookViewId="0">
      <selection activeCell="C19" sqref="C19"/>
    </sheetView>
  </sheetViews>
  <sheetFormatPr defaultRowHeight="15" x14ac:dyDescent="0.25"/>
  <cols>
    <col min="2" max="2" width="18.5703125" customWidth="1"/>
    <col min="3" max="3" width="28.28515625" customWidth="1"/>
    <col min="6" max="6" width="2.85546875" customWidth="1"/>
    <col min="7" max="7" width="17.42578125" customWidth="1"/>
    <col min="8" max="8" width="17.7109375" customWidth="1"/>
    <col min="9" max="9" width="18" customWidth="1"/>
    <col min="10" max="10" width="18.42578125" customWidth="1"/>
    <col min="11" max="12" width="22.7109375" customWidth="1"/>
    <col min="13" max="13" width="1.42578125" customWidth="1"/>
  </cols>
  <sheetData>
    <row r="2" spans="2:14" x14ac:dyDescent="0.25">
      <c r="B2" s="14" t="s">
        <v>0</v>
      </c>
      <c r="C2" s="16"/>
      <c r="G2" s="17" t="s">
        <v>23</v>
      </c>
      <c r="H2" s="17"/>
      <c r="I2" s="17"/>
      <c r="J2" s="17"/>
      <c r="K2" s="17"/>
      <c r="L2" s="17"/>
    </row>
    <row r="3" spans="2:14" x14ac:dyDescent="0.25">
      <c r="B3" s="1" t="s">
        <v>1</v>
      </c>
      <c r="C3" s="2">
        <v>3000</v>
      </c>
      <c r="E3" s="5" t="s">
        <v>22</v>
      </c>
      <c r="F3" t="s">
        <v>33</v>
      </c>
      <c r="G3" s="8" t="s">
        <v>36</v>
      </c>
      <c r="H3" s="8" t="s">
        <v>24</v>
      </c>
      <c r="I3" s="8" t="s">
        <v>25</v>
      </c>
      <c r="J3" s="8" t="s">
        <v>26</v>
      </c>
      <c r="K3" s="8" t="s">
        <v>27</v>
      </c>
      <c r="L3" s="8" t="s">
        <v>35</v>
      </c>
      <c r="N3" s="5" t="s">
        <v>28</v>
      </c>
    </row>
    <row r="4" spans="2:14" x14ac:dyDescent="0.25">
      <c r="B4" s="1" t="s">
        <v>2</v>
      </c>
      <c r="C4" s="2">
        <v>299</v>
      </c>
      <c r="E4" s="9">
        <f>G4/L4</f>
        <v>0.20930232558139536</v>
      </c>
      <c r="F4">
        <v>1</v>
      </c>
      <c r="G4" s="9">
        <f>ObsBid1</f>
        <v>900</v>
      </c>
      <c r="H4" s="9">
        <f xml:space="preserve"> RTD(Connector, ,Stock, "AGBSZ",F4)</f>
        <v>900</v>
      </c>
      <c r="I4" s="9">
        <f xml:space="preserve"> RTD(Connector, ,Stock, "AGBID",F4)</f>
        <v>10.130000000000001</v>
      </c>
      <c r="J4" s="9">
        <f xml:space="preserve"> RTD(Connector, ,Stock, "AGASK",F4)</f>
        <v>10.14</v>
      </c>
      <c r="K4" s="9">
        <f xml:space="preserve"> RTD(Connector, ,Stock, "AGASZ",F4)</f>
        <v>4300</v>
      </c>
      <c r="L4" s="9">
        <f>K4</f>
        <v>4300</v>
      </c>
      <c r="N4" s="9">
        <f>L4/G4</f>
        <v>4.7777777777777777</v>
      </c>
    </row>
    <row r="5" spans="2:14" x14ac:dyDescent="0.25">
      <c r="B5" s="1" t="s">
        <v>3</v>
      </c>
      <c r="C5" s="2">
        <v>1</v>
      </c>
      <c r="E5" s="9">
        <f t="shared" ref="E5:E7" si="0">G5/L5</f>
        <v>0.65346534653465349</v>
      </c>
      <c r="F5">
        <v>2</v>
      </c>
      <c r="G5" s="9">
        <f>BidSize2+G4</f>
        <v>6600</v>
      </c>
      <c r="H5" s="9">
        <f xml:space="preserve"> RTD(Connector, ,Stock, "AGBSZ",F5)</f>
        <v>5700</v>
      </c>
      <c r="I5" s="9">
        <f xml:space="preserve"> RTD(Connector, ,Stock, "AGBID",F5)</f>
        <v>10.119999999999999</v>
      </c>
      <c r="J5" s="9">
        <f xml:space="preserve"> RTD(Connector, ,Stock, "AGASK",F5)</f>
        <v>10.16</v>
      </c>
      <c r="K5" s="9">
        <f xml:space="preserve"> RTD(Connector, ,Stock, "AGASZ",F5)</f>
        <v>5800</v>
      </c>
      <c r="L5" s="9">
        <f>AskSize2+L4</f>
        <v>10100</v>
      </c>
      <c r="N5" s="9">
        <f t="shared" ref="N5:N7" si="1">L5/G5</f>
        <v>1.5303030303030303</v>
      </c>
    </row>
    <row r="6" spans="2:14" x14ac:dyDescent="0.25">
      <c r="B6" s="1" t="s">
        <v>4</v>
      </c>
      <c r="C6" s="2">
        <v>1</v>
      </c>
      <c r="E6" s="9">
        <f t="shared" si="0"/>
        <v>0.77358490566037741</v>
      </c>
      <c r="F6">
        <v>3</v>
      </c>
      <c r="G6" s="9">
        <f>BidSize2+G5</f>
        <v>12300</v>
      </c>
      <c r="H6" s="9">
        <f xml:space="preserve"> RTD(Connector, ,Stock, "AGBSZ",F6)</f>
        <v>4200</v>
      </c>
      <c r="I6" s="9">
        <f xml:space="preserve"> RTD(Connector, ,Stock, "AGBID",F6)</f>
        <v>10.1</v>
      </c>
      <c r="J6" s="9">
        <f xml:space="preserve"> RTD(Connector, ,Stock, "AGASK",F6)</f>
        <v>10.17</v>
      </c>
      <c r="K6" s="9">
        <f xml:space="preserve"> RTD(Connector, ,Stock, "AGASZ",F6)</f>
        <v>9000</v>
      </c>
      <c r="L6" s="9">
        <f>AskSize2+L5</f>
        <v>15900</v>
      </c>
      <c r="N6" s="9">
        <f t="shared" si="1"/>
        <v>1.2926829268292683</v>
      </c>
    </row>
    <row r="7" spans="2:14" x14ac:dyDescent="0.25">
      <c r="B7" s="1" t="s">
        <v>5</v>
      </c>
      <c r="C7" s="2">
        <v>0.02</v>
      </c>
      <c r="E7" s="9">
        <f t="shared" si="0"/>
        <v>0.82949308755760365</v>
      </c>
      <c r="F7">
        <v>4</v>
      </c>
      <c r="G7" s="9">
        <f>BidSize2+G6</f>
        <v>18000</v>
      </c>
      <c r="H7" s="9">
        <f xml:space="preserve"> RTD(Connector, ,Stock, "AGBSZ",F7)</f>
        <v>10700</v>
      </c>
      <c r="I7" s="9">
        <f xml:space="preserve"> RTD(Connector, ,Stock, "AGBID",F7)</f>
        <v>10.08</v>
      </c>
      <c r="J7" s="9">
        <f xml:space="preserve"> RTD(Connector, ,Stock, "AGASK",F7)</f>
        <v>10.18</v>
      </c>
      <c r="K7" s="9">
        <f xml:space="preserve"> RTD(Connector, ,Stock, "AGASZ",F7)</f>
        <v>5200</v>
      </c>
      <c r="L7" s="9">
        <f>AskSize2+L6</f>
        <v>21700</v>
      </c>
      <c r="N7" s="9">
        <f t="shared" si="1"/>
        <v>1.2055555555555555</v>
      </c>
    </row>
    <row r="8" spans="2:14" x14ac:dyDescent="0.25">
      <c r="B8" s="1" t="s">
        <v>6</v>
      </c>
      <c r="C8" s="2">
        <v>15000</v>
      </c>
    </row>
    <row r="9" spans="2:14" x14ac:dyDescent="0.25">
      <c r="B9" s="1" t="s">
        <v>7</v>
      </c>
      <c r="C9" s="2">
        <v>6000</v>
      </c>
    </row>
    <row r="10" spans="2:14" x14ac:dyDescent="0.25">
      <c r="B10" s="1" t="s">
        <v>8</v>
      </c>
      <c r="C10" s="2">
        <v>10000</v>
      </c>
    </row>
    <row r="11" spans="2:14" x14ac:dyDescent="0.25">
      <c r="B11" s="1" t="s">
        <v>9</v>
      </c>
      <c r="C11" s="2">
        <v>-6000</v>
      </c>
      <c r="G11" s="18" t="s">
        <v>37</v>
      </c>
      <c r="H11" s="18"/>
      <c r="I11" s="18"/>
      <c r="J11" s="18"/>
      <c r="K11" s="18"/>
      <c r="L11" s="18"/>
    </row>
    <row r="12" spans="2:14" x14ac:dyDescent="0.25">
      <c r="B12" s="1" t="s">
        <v>10</v>
      </c>
      <c r="C12" s="2">
        <v>-10000</v>
      </c>
      <c r="G12" s="14" t="s">
        <v>23</v>
      </c>
      <c r="H12" s="15"/>
      <c r="I12" s="15"/>
      <c r="J12" s="15"/>
      <c r="K12" s="15"/>
      <c r="L12" s="16"/>
    </row>
    <row r="13" spans="2:14" x14ac:dyDescent="0.25">
      <c r="B13" s="1" t="s">
        <v>11</v>
      </c>
      <c r="C13" s="2">
        <v>6000</v>
      </c>
      <c r="E13" s="5" t="s">
        <v>22</v>
      </c>
      <c r="F13" t="s">
        <v>33</v>
      </c>
      <c r="G13" s="8" t="s">
        <v>36</v>
      </c>
      <c r="H13" s="8" t="s">
        <v>24</v>
      </c>
      <c r="I13" s="8" t="s">
        <v>25</v>
      </c>
      <c r="J13" s="8" t="s">
        <v>26</v>
      </c>
      <c r="K13" s="8" t="s">
        <v>27</v>
      </c>
      <c r="L13" s="8" t="s">
        <v>35</v>
      </c>
      <c r="N13" s="5" t="s">
        <v>28</v>
      </c>
    </row>
    <row r="14" spans="2:14" x14ac:dyDescent="0.25">
      <c r="B14" s="1" t="s">
        <v>12</v>
      </c>
      <c r="C14" s="2">
        <v>6000</v>
      </c>
      <c r="E14" s="9">
        <f>G14/L14</f>
        <v>0.14372716199756394</v>
      </c>
      <c r="F14">
        <v>1</v>
      </c>
      <c r="G14" s="9">
        <f>H14</f>
        <v>11800</v>
      </c>
      <c r="H14" s="9">
        <v>11800</v>
      </c>
      <c r="I14" s="9">
        <v>20.239999999999998</v>
      </c>
      <c r="J14" s="9">
        <v>20.25</v>
      </c>
      <c r="K14" s="9">
        <v>82100</v>
      </c>
      <c r="L14" s="9">
        <f>K14</f>
        <v>82100</v>
      </c>
      <c r="N14" s="9">
        <f>L14/G14</f>
        <v>6.9576271186440675</v>
      </c>
    </row>
    <row r="15" spans="2:14" x14ac:dyDescent="0.25">
      <c r="B15" s="14" t="s">
        <v>13</v>
      </c>
      <c r="C15" s="16"/>
      <c r="E15" s="9">
        <f>G15/L15</f>
        <v>0.89521829521829521</v>
      </c>
      <c r="F15">
        <v>2</v>
      </c>
      <c r="G15" s="9">
        <f>H15+G14</f>
        <v>215300</v>
      </c>
      <c r="H15" s="9">
        <v>203500</v>
      </c>
      <c r="I15" s="9">
        <v>20.23</v>
      </c>
      <c r="J15" s="9">
        <v>20.260000000000002</v>
      </c>
      <c r="K15" s="9">
        <v>158400</v>
      </c>
      <c r="L15" s="9">
        <f>K15+L14</f>
        <v>240500</v>
      </c>
      <c r="N15" s="9">
        <f t="shared" ref="N15:N17" si="2">L15/G15</f>
        <v>1.117045982350209</v>
      </c>
    </row>
    <row r="16" spans="2:14" x14ac:dyDescent="0.25">
      <c r="B16" s="6" t="s">
        <v>14</v>
      </c>
      <c r="C16" s="7" cm="1">
        <f t="array" ref="C16">MarketMaking(TimeRemaining, StartTime, StopTime, DefaultSize, BestAsk, BestBid, SecondAsk, SecondBid, ThirdAsk, ThirdBid, FourthAsk, FourthBid, ObsAsk1, ObsAsk2, ObsAsk3, ObsAsk4, ObsBid1, ObsBid2, ObsBid3, ObsBid4, BidAskSpread, K, Position, OpenLimitOrders, BidSize1, BidSize2, BidSize3, BidSize4, AskSize1, AskSize2, AskSize3, AskSize4, InventoryTreshold1, InventoryTreshold2, InventoryTreshold3, InventoryTreshold4, InventoryTreshold5, Stock, SafeValue1, SafeValue2)</f>
        <v>0</v>
      </c>
      <c r="E16" s="9">
        <f>G16/L16</f>
        <v>0.67274749721913241</v>
      </c>
      <c r="F16">
        <v>3</v>
      </c>
      <c r="G16" s="9">
        <f t="shared" ref="G16:G17" si="3">H16+G15</f>
        <v>302400</v>
      </c>
      <c r="H16" s="9">
        <v>87100</v>
      </c>
      <c r="I16" s="9">
        <v>20.22</v>
      </c>
      <c r="J16" s="9">
        <v>20.27</v>
      </c>
      <c r="K16" s="9">
        <v>209000</v>
      </c>
      <c r="L16" s="9">
        <f t="shared" ref="L16:L17" si="4">K16+L15</f>
        <v>449500</v>
      </c>
      <c r="N16" s="9">
        <f t="shared" si="2"/>
        <v>1.4864417989417988</v>
      </c>
    </row>
    <row r="17" spans="2:14" x14ac:dyDescent="0.25">
      <c r="B17" s="12" t="s">
        <v>15</v>
      </c>
      <c r="C17" s="13"/>
      <c r="E17" s="9">
        <f>G17/L17</f>
        <v>0.39926348301259207</v>
      </c>
      <c r="F17">
        <v>4</v>
      </c>
      <c r="G17" s="9">
        <f t="shared" si="3"/>
        <v>336100</v>
      </c>
      <c r="H17" s="9">
        <v>33700</v>
      </c>
      <c r="I17" s="9">
        <v>20.21</v>
      </c>
      <c r="J17" s="9">
        <v>20.28</v>
      </c>
      <c r="K17" s="9">
        <v>392300</v>
      </c>
      <c r="L17" s="9">
        <f t="shared" si="4"/>
        <v>841800</v>
      </c>
      <c r="N17" s="9">
        <f t="shared" si="2"/>
        <v>2.5046117227015769</v>
      </c>
    </row>
    <row r="18" spans="2:14" x14ac:dyDescent="0.25">
      <c r="B18" s="11" t="s">
        <v>16</v>
      </c>
      <c r="C18" s="10">
        <f>RTD(Connector,,Stock,"LIMITORDERS")</f>
        <v>8</v>
      </c>
    </row>
    <row r="19" spans="2:14" x14ac:dyDescent="0.25">
      <c r="B19" s="1" t="s">
        <v>17</v>
      </c>
      <c r="C19" s="2">
        <f>RTD(Connector,,Stock,"POSITION")</f>
        <v>-4600</v>
      </c>
    </row>
    <row r="20" spans="2:14" x14ac:dyDescent="0.25">
      <c r="B20" s="1" t="s">
        <v>18</v>
      </c>
      <c r="C20" s="2">
        <f>RTD(Connector,,"TIMEREMAINING")</f>
        <v>267</v>
      </c>
    </row>
    <row r="21" spans="2:14" x14ac:dyDescent="0.25">
      <c r="B21" s="1" t="s">
        <v>19</v>
      </c>
      <c r="C21" s="2">
        <f>BestAsk-BestBid</f>
        <v>9.9999999999997868E-3</v>
      </c>
    </row>
    <row r="22" spans="2:14" x14ac:dyDescent="0.25">
      <c r="B22" s="1" t="s">
        <v>20</v>
      </c>
      <c r="C22" s="2">
        <f>BestBid</f>
        <v>10.130000000000001</v>
      </c>
    </row>
    <row r="23" spans="2:14" x14ac:dyDescent="0.25">
      <c r="B23" s="3" t="s">
        <v>21</v>
      </c>
      <c r="C23" s="4">
        <f>BestAsk</f>
        <v>10.14</v>
      </c>
    </row>
    <row r="24" spans="2:14" x14ac:dyDescent="0.25">
      <c r="B24" s="12" t="s">
        <v>34</v>
      </c>
      <c r="C24" s="13"/>
    </row>
    <row r="25" spans="2:14" x14ac:dyDescent="0.25">
      <c r="B25" s="11" t="s">
        <v>32</v>
      </c>
      <c r="C25" s="10" t="s">
        <v>30</v>
      </c>
    </row>
    <row r="26" spans="2:14" x14ac:dyDescent="0.25">
      <c r="B26" s="3" t="s">
        <v>31</v>
      </c>
      <c r="C26" s="4" t="s">
        <v>29</v>
      </c>
    </row>
  </sheetData>
  <mergeCells count="7">
    <mergeCell ref="B24:C24"/>
    <mergeCell ref="G12:L12"/>
    <mergeCell ref="G2:L2"/>
    <mergeCell ref="G11:L11"/>
    <mergeCell ref="B2:C2"/>
    <mergeCell ref="B15:C15"/>
    <mergeCell ref="B17:C17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39</vt:i4>
      </vt:variant>
    </vt:vector>
  </HeadingPairs>
  <TitlesOfParts>
    <vt:vector size="40" baseType="lpstr">
      <vt:lpstr>Sheet1</vt:lpstr>
      <vt:lpstr>AskSize2</vt:lpstr>
      <vt:lpstr>AskSize3</vt:lpstr>
      <vt:lpstr>AskSize4</vt:lpstr>
      <vt:lpstr>BestAsk</vt:lpstr>
      <vt:lpstr>BestBid</vt:lpstr>
      <vt:lpstr>BidAskSpread</vt:lpstr>
      <vt:lpstr>BidSize2</vt:lpstr>
      <vt:lpstr>BidSize3</vt:lpstr>
      <vt:lpstr>BidSize4</vt:lpstr>
      <vt:lpstr>Connector</vt:lpstr>
      <vt:lpstr>DefaultSize</vt:lpstr>
      <vt:lpstr>FourthAsk</vt:lpstr>
      <vt:lpstr>FourthBid</vt:lpstr>
      <vt:lpstr>InventoryTreshold1</vt:lpstr>
      <vt:lpstr>InventoryTreshold2</vt:lpstr>
      <vt:lpstr>InventoryTreshold3</vt:lpstr>
      <vt:lpstr>InventoryTreshold4</vt:lpstr>
      <vt:lpstr>InventoryTreshold5</vt:lpstr>
      <vt:lpstr>K</vt:lpstr>
      <vt:lpstr>ObsAsk1</vt:lpstr>
      <vt:lpstr>ObsAsk2</vt:lpstr>
      <vt:lpstr>ObsAsk3</vt:lpstr>
      <vt:lpstr>ObsAsk4</vt:lpstr>
      <vt:lpstr>ObsBid1</vt:lpstr>
      <vt:lpstr>ObsBid2</vt:lpstr>
      <vt:lpstr>ObsBid3</vt:lpstr>
      <vt:lpstr>ObsBid4</vt:lpstr>
      <vt:lpstr>OpenLimitOrders</vt:lpstr>
      <vt:lpstr>Position</vt:lpstr>
      <vt:lpstr>SafeValue1</vt:lpstr>
      <vt:lpstr>SafeValue2</vt:lpstr>
      <vt:lpstr>SecondAsk</vt:lpstr>
      <vt:lpstr>SecondBid</vt:lpstr>
      <vt:lpstr>StartTime</vt:lpstr>
      <vt:lpstr>Stock</vt:lpstr>
      <vt:lpstr>StopTime</vt:lpstr>
      <vt:lpstr>ThirdAsk</vt:lpstr>
      <vt:lpstr>ThirdBid</vt:lpstr>
      <vt:lpstr>TimeRemaining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Rangel Stoilov</dc:creator>
  <cp:lastModifiedBy>Rangel Stoilov</cp:lastModifiedBy>
  <dcterms:created xsi:type="dcterms:W3CDTF">2020-11-15T13:19:50Z</dcterms:created>
  <dcterms:modified xsi:type="dcterms:W3CDTF">2020-11-15T20:28:34Z</dcterms:modified>
</cp:coreProperties>
</file>